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Github\GD12_3DFinal\GD12Trailer\"/>
    </mc:Choice>
  </mc:AlternateContent>
  <xr:revisionPtr revIDLastSave="0" documentId="13_ncr:1_{0ADA4E6E-79EE-49CC-A6C0-E914A1318FAB}" xr6:coauthVersionLast="47" xr6:coauthVersionMax="47" xr10:uidLastSave="{00000000-0000-0000-0000-000000000000}"/>
  <bookViews>
    <workbookView xWindow="32025" yWindow="4095" windowWidth="21585" windowHeight="8835" activeTab="1" xr2:uid="{00000000-000D-0000-FFFF-FFFF00000000}"/>
  </bookViews>
  <sheets>
    <sheet name="Excel分镜" sheetId="1" r:id="rId1"/>
    <sheet name="Abel语音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D5" i="1" l="1"/>
  <c r="D35" i="1"/>
  <c r="D33" i="1"/>
  <c r="D31" i="1"/>
  <c r="D30" i="1"/>
  <c r="D25" i="1"/>
  <c r="D24" i="1"/>
  <c r="D21" i="1"/>
  <c r="D20" i="1"/>
  <c r="D19" i="1"/>
  <c r="D16" i="1"/>
  <c r="D11" i="1"/>
  <c r="D9" i="1"/>
  <c r="D8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84541FE2FE54F2DB9CCA8A7E12DD6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34025" y="1043940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4268D545E68F45B69E2BA538EB8278B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3175" y="322516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BB7F924D1CEF4F73969797648F9C0D9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3175" y="2863850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2727A45A097247A0879B7366244099D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611860" y="1205166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E9B9E45B4774B70A5B8B67C810CE05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611860" y="1338643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3F9596BDB8E47DA83C2BF5AEF5E66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611860" y="15096490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948A93434EC49A8B2270DD0488BD38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611860" y="1644459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16C068A1BF74DB8AA3BF66DC3DC245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611860" y="17792700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C1248B16276447BFAED54F0BBE5CA2D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611860" y="1952180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41F1A86A32A24A11B6376CA514625CA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611860" y="2296096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90B36DA5FDC14F3381253880B535F5A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611860" y="24309070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3737BFE793EF4D8C8AB94AF3F72694B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611860" y="25847675"/>
          <a:ext cx="10972800" cy="6172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548AC508B2354AD98DEE78431441053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611860" y="27195780"/>
          <a:ext cx="10972800" cy="6172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<sst xmlns="http://schemas.openxmlformats.org/spreadsheetml/2006/main" count="136" uniqueCount="119">
  <si>
    <t>大体剧情流</t>
  </si>
  <si>
    <t>#1 
玩家在公司房间内利用笔记本电脑吸引敌人杀死敌人
#2 
玩家进入大厅，观察敌情
#3 
Abel脑内推演，发现如果玩家射出子弹杀死了第一名士兵，会引起很多士兵的警觉，最终玩家被射死，任务失败
#4 
Abel语音提示玩家，要合理利用Abel的能力，尽可能安全的完成任务
展示Abel的扫描
使用全息投影引诱开敌人
读取敌人心灵，开启密码门
放置重生点
玩家打开一个房间门，被埋伏，死亡
#5 
玩家重生，前往售货机处购买神秘武器
玩家打开上一死亡点的门
玩家放置Abel，吸引火力，同时Abel放置炸弹，炸死埋伏的士兵
#6
游玩实机、技能释放的混剪
最终再次以炸弹爆炸收尾，在爆炸中，Abel跳舞挑衅士兵，摄像头推进到蓝色爆炸与Abel
出现游戏LOGO，预告结束</t>
  </si>
  <si>
    <t>章节</t>
  </si>
  <si>
    <t>场景</t>
  </si>
  <si>
    <t>内容</t>
  </si>
  <si>
    <t>概念图</t>
  </si>
  <si>
    <t>音乐</t>
  </si>
  <si>
    <t>音效</t>
  </si>
  <si>
    <t>新增工作量</t>
  </si>
  <si>
    <t>完成状况</t>
  </si>
  <si>
    <t>章节一</t>
  </si>
  <si>
    <t>1. 夜晚，熄灯的公司房间内</t>
  </si>
  <si>
    <t>画面聚焦于笔记本后的环境上，笔记本虚焦
笔记本电脑黑屏</t>
  </si>
  <si>
    <t>5s左右, 开头无BGM，</t>
  </si>
  <si>
    <t>微弱的机器人巡逻脚步声</t>
  </si>
  <si>
    <t>完成：T1-1</t>
  </si>
  <si>
    <t>画面逐渐对焦到笔记本上</t>
  </si>
  <si>
    <t>笔记本屏幕被点亮，玩家使用笔记本播放音乐</t>
  </si>
  <si>
    <t>0：00 - 0：08 音乐淡入,玩家使用电脑播放BGM</t>
  </si>
  <si>
    <t>笔记本铃声</t>
  </si>
  <si>
    <t>桌子</t>
  </si>
  <si>
    <t>待补充：笔记本播放音乐</t>
  </si>
  <si>
    <t>2. 夜晚，熄灯的公司房间内</t>
  </si>
  <si>
    <t xml:space="preserve">画面聚焦与笔记本上，AI虚焦
音乐吸引AI前来检查，AI从画面左上角逐渐走进查看
AI在靠近后只显露出下半身
</t>
  </si>
  <si>
    <t>笔记本铃声，AI逐渐靠近的脚步声</t>
  </si>
  <si>
    <t>3. 夜晚，熄灯的公司房间内</t>
  </si>
  <si>
    <t>玩家出现，AI被暗杀倒地
显示游戏LOGO</t>
  </si>
  <si>
    <t>0：08 音乐淡出，玩家杀死AI，玩家拾取地上钥匙卡</t>
  </si>
  <si>
    <t>笔记本铃声，轻微的敌人倒地声，卡片掉落声</t>
  </si>
  <si>
    <t>笔记本亮屏画面，笔记本铃声</t>
  </si>
  <si>
    <t>待补充：显示游戏LOGO</t>
  </si>
  <si>
    <t>4. 夜晚，熄灯的公司房间内</t>
  </si>
  <si>
    <t>镜头从笔记本前逐渐回归到玩家的第三人称镜头，摄像头移向通往大厅的门</t>
  </si>
  <si>
    <t>3s左右，无BGM</t>
  </si>
  <si>
    <t>玩家拾取声音</t>
  </si>
  <si>
    <t>敌人死后钥匙卡生成</t>
  </si>
  <si>
    <t>5. 夜晚，熄灯的公司房间内</t>
  </si>
  <si>
    <t>玩家在黑暗的公司中蹲伏前进，前往大厅（弗雷姆大厅）
大厅灯亮，但玩家所处的房屋全黑，随着玩家往前移动画面亮度逐渐提高</t>
  </si>
  <si>
    <t>0：08 - 0：11 音乐淡入，玩家缓慢进入大厅，随着画面逐渐变亮</t>
  </si>
  <si>
    <t>章节二</t>
  </si>
  <si>
    <t>1. 夜晚，明亮的大厅内</t>
  </si>
  <si>
    <t>玩家抵达大厅，慢移第三人称摄像机，环绕观看整个楼内（AI，场景等）</t>
  </si>
  <si>
    <t>0：11 - 0：14 镜头以玩家视角环顾三楼</t>
  </si>
  <si>
    <t>章节三</t>
  </si>
  <si>
    <t>玩家举起枪，瞄准其中一名巡逻士兵</t>
  </si>
  <si>
    <t>0：14 - 0：21 玩家举枪瞄准AI，向AI开火，开火瞬间，摄像头从玩家的第三人称摄像头逐渐靠向子弹并最终聚焦于子弹上，画面变黑</t>
  </si>
  <si>
    <t>子弹Mesh，射击粒子特效</t>
  </si>
  <si>
    <t>在警报声中，视角切向黑暗中的机器人，机器人一台接着一台逐个从静止状态进入警戒状态，并开始移动</t>
  </si>
  <si>
    <t>0：21 - 0：25 摄像头切到在全黑的公司某处内，大批机器人听到枪声，进入警戒状态，向摄像头移动</t>
  </si>
  <si>
    <t>机器人进入警戒音效</t>
  </si>
  <si>
    <t>完成：T3-2</t>
  </si>
  <si>
    <t>3. 夜晚，明亮的大厅内</t>
  </si>
  <si>
    <t>四面八方士兵涌来，玩家死亡，显示UI Mission fail</t>
  </si>
  <si>
    <t>0：25 - 0：30 音乐淡出，玩家受到攻击，死亡，Mission Fail。</t>
  </si>
  <si>
    <t>章节四</t>
  </si>
  <si>
    <t>前一章的内容快速倒放，并且加上蓝色后期效果，表示这是Abel推测的结果</t>
  </si>
  <si>
    <t>2s左右，画面倒放，无BGM</t>
  </si>
  <si>
    <t>画面倒放（倒带）的音效</t>
  </si>
  <si>
    <t>2. 夜晚，明亮的大厅内</t>
  </si>
  <si>
    <t>Abel告诉玩家，放下枪，不要惊动守卫，不能够冲动，要利用Abel的技能一步步潜入进去</t>
  </si>
  <si>
    <t>3s左右，Abel语音提示，无BGM；</t>
  </si>
  <si>
    <t>Abel的配音</t>
  </si>
  <si>
    <t>玩家使用扫描，探查出楼内的AI</t>
  </si>
  <si>
    <t>1：14 - 1：31(They wanna stop us)
玩家进入骇客模式并且使用扫描的瞬间，BGM立刻开始
玩家放置完重生点后，BGM淡出</t>
  </si>
  <si>
    <t>修改扫描，让扫描只播放一次</t>
  </si>
  <si>
    <t>4. 夜晚，明亮的大厅内</t>
  </si>
  <si>
    <t>玩家使用全息投影，引诱开敌人，然后从他身后蹲伏通过</t>
  </si>
  <si>
    <t>5. 夜晚，明亮的大厅内</t>
  </si>
  <si>
    <t>玩家对天花板去物质化，天花板上面的物体掉下来砸死AI</t>
  </si>
  <si>
    <t>掉落发出响声和掉落杀死AI的物体Mesh</t>
  </si>
  <si>
    <t>6. 夜晚，明亮的大厅内</t>
  </si>
  <si>
    <t>玩家读取敌人内心，获得密码，使用密码在密码锁上开门</t>
  </si>
  <si>
    <t>7. 夜晚，明亮的大厅内</t>
  </si>
  <si>
    <t>玩家打碎门口摄像头，玩家在一个门口放置重生点</t>
  </si>
  <si>
    <t>玩家开门，进入房间，被四面八方的敌人射死</t>
  </si>
  <si>
    <t>5s左右，无BGM</t>
  </si>
  <si>
    <t>章节五</t>
  </si>
  <si>
    <t>玩家在门口重生点重生，看到门口的售货机，购买神秘武器。</t>
  </si>
  <si>
    <t>玩家走向门，随着离门越来越近，BGM声音越来越大</t>
  </si>
  <si>
    <t>1：50 - 1：54 音乐淡入</t>
  </si>
  <si>
    <t>玩家打开门，放置全息，敌人向全息移动，敌人被全息炸死</t>
  </si>
  <si>
    <t xml:space="preserve">1：54 - 1：57(break your fucking face) ，玩家打开门，放置Abel，躲在门后，Abel爆炸（卡1：57）
</t>
  </si>
  <si>
    <t>章节六</t>
  </si>
  <si>
    <t>1. 任意</t>
  </si>
  <si>
    <t>游玩实机（四个技能，射击，暗杀，攀爬）</t>
  </si>
  <si>
    <t>1：57 - 2：27(so come and get it) 混剪直到预告结束
混剪总共10s</t>
  </si>
  <si>
    <t>场景实机</t>
  </si>
  <si>
    <t>显示游戏LOGO</t>
  </si>
  <si>
    <t>引擎内工作优先级排序
修改扫描，让扫描只播放一次
子弹Mesh，射击粒子特效
笔记本亮屏画面，笔记本铃声
敌人死后钥匙卡生成
Abel AI配音
掉落发出响声和掉落杀死AI的物体Mesh</t>
    <phoneticPr fontId="2" type="noConversion"/>
  </si>
  <si>
    <t>BGM选用：Break Stuff.Explicit.-Limp Bizkit
#1 
5s左右, 开头无BGM，
0：00 - 0：08 音乐淡入,玩家使用电脑播放BGM
0：08 音乐淡出，玩家杀死AI，音乐停止。玩家拾取地上钥匙卡。LOGO出现
#2 
3s左右，玩家走向通往大厅的门。
0：08 - 0：11 音乐淡入，玩家缓慢进入大厅，随着画面逐渐亮。
#3 
0：11 - 0：14 镜头以玩家视角环顾三楼
0：14 - 0：21 玩家举枪瞄准AI，向AI开火，开火瞬间，摄像头从玩家的第三人称摄像头逐渐靠向子弹并最终聚焦于子弹上，画面变黑
0：21 - 0：25 摄像头切到在全黑的公司某处内，大批机器人听到枪声，进入警戒状态，向摄像头移动
0：25 - 0：30 音乐淡出，玩家受到攻击，死亡，Mission Fail。
#4 
5s左右，Abel语音提示，无BGM；
1：14 - 1：31(They wanna stop us)，语音提示结束，玩家开始扫描，BGM响起，镜头主要展示玩家技能
1：31 音乐淡出，玩家抵达某一房间门口
5s左右 玩家进入房间内，被AI发现乱枪打死；
#5 
5s左右，玩家看到门口的贩卖机，购买神秘武器，无BGM
1：50 - 1：54 音乐淡入，玩家从售货机走向门
1：54 - 1：57(break your fucking face) ，玩家打开门，放置Abel，躲在门后，Abel爆炸（卡1：57）
#6
混剪10s直到预告结束[选用片段摘自1：57 - 2：27(so come and get it) ]，LOGO出现</t>
    <phoneticPr fontId="2" type="noConversion"/>
  </si>
  <si>
    <t>宣传片总时长
#1 5s + 8s 
#2 3s + 3s
#3 19s
#4 5s + 17s + 5s
#5 5s + 7s
#6 10s
总时长：87s</t>
    <phoneticPr fontId="2" type="noConversion"/>
  </si>
  <si>
    <t>位置</t>
    <phoneticPr fontId="2" type="noConversion"/>
  </si>
  <si>
    <t>类别</t>
    <phoneticPr fontId="2" type="noConversion"/>
  </si>
  <si>
    <t>T3-1</t>
    <phoneticPr fontId="2" type="noConversion"/>
  </si>
  <si>
    <t>T4-1</t>
    <phoneticPr fontId="2" type="noConversion"/>
  </si>
  <si>
    <t>T4-2~4-6</t>
    <phoneticPr fontId="2" type="noConversion"/>
  </si>
  <si>
    <t>T4-7</t>
    <phoneticPr fontId="2" type="noConversion"/>
  </si>
  <si>
    <t>T5-1</t>
    <phoneticPr fontId="2" type="noConversion"/>
  </si>
  <si>
    <t>T5-2</t>
    <phoneticPr fontId="2" type="noConversion"/>
  </si>
  <si>
    <t>宣传片T</t>
    <phoneticPr fontId="2" type="noConversion"/>
  </si>
  <si>
    <t>语音Speech</t>
    <phoneticPr fontId="2" type="noConversion"/>
  </si>
  <si>
    <t>SpT3-1</t>
    <phoneticPr fontId="2" type="noConversion"/>
  </si>
  <si>
    <t>SpT4-2~4-6</t>
  </si>
  <si>
    <t>SpT4-7</t>
  </si>
  <si>
    <t>SpT5-1</t>
  </si>
  <si>
    <t>SpT5-2</t>
  </si>
  <si>
    <t>SpT4-1</t>
    <phoneticPr fontId="2" type="noConversion"/>
  </si>
  <si>
    <t>语音编号命名</t>
    <phoneticPr fontId="2" type="noConversion"/>
  </si>
  <si>
    <t>Maintain combat focus. Do not compromise your position.</t>
    <phoneticPr fontId="2" type="noConversion"/>
  </si>
  <si>
    <t>Stop. Right now.</t>
    <phoneticPr fontId="2" type="noConversion"/>
  </si>
  <si>
    <t>Unless you want to die here.</t>
    <phoneticPr fontId="2" type="noConversion"/>
  </si>
  <si>
    <t>Your priority is eliminating the CEO. Nothing else matters.</t>
    <phoneticPr fontId="2" type="noConversion"/>
  </si>
  <si>
    <t>Use the abilities I gave you. That's not a suggestion.</t>
    <phoneticPr fontId="2" type="noConversion"/>
  </si>
  <si>
    <t>Wait—hostile signatures incoming!</t>
    <phoneticPr fontId="2" type="noConversion"/>
  </si>
  <si>
    <t>Lucky for you, I anticipated this. Next time? Eyes open.</t>
    <phoneticPr fontId="2" type="noConversion"/>
  </si>
  <si>
    <t>Try this approach instead. Make it count.</t>
    <phoneticPr fontId="2" type="noConversion"/>
  </si>
  <si>
    <t>Don’t. Screw. This. Up.</t>
    <phoneticPr fontId="2" type="noConversion"/>
  </si>
  <si>
    <t>https://elevenlabs.io/app/speech-synthesis/text-to-speech</t>
    <phoneticPr fontId="2" type="noConversion"/>
  </si>
  <si>
    <t>Voice: Will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</si>
</sst>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58" fontId="3" fillId="0" borderId="1" xfId="0" applyNumberFormat="1" applyFont="1" applyBorder="1">
      <alignment vertical="center"/>
    </xf>
    <xf numFmtId="0" fontId="3" fillId="0" borderId="1" xfId="0" applyFont="1" applyFill="1" applyBorder="1">
      <alignment vertical="center"/>
    </xf>
    <xf numFmtId="0" fontId="5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wmf"/><Relationship Id="rId13" Type="http://schemas.openxmlformats.org/officeDocument/2006/relationships/image" Target="media/image13.wmf"/><Relationship Id="rId3" Type="http://schemas.openxmlformats.org/officeDocument/2006/relationships/image" Target="media/image3.wmf"/><Relationship Id="rId7" Type="http://schemas.openxmlformats.org/officeDocument/2006/relationships/image" Target="media/image7.wmf"/><Relationship Id="rId12" Type="http://schemas.openxmlformats.org/officeDocument/2006/relationships/image" Target="media/image12.wmf"/><Relationship Id="rId2" Type="http://schemas.openxmlformats.org/officeDocument/2006/relationships/image" Target="media/image2.wmf"/><Relationship Id="rId6" Type="http://schemas.openxmlformats.org/officeDocument/2006/relationships/image" Target="media/image6.wmf"/><Relationship Id="rId11" Type="http://schemas.openxmlformats.org/officeDocument/2006/relationships/image" Target="media/image11.wmf"/><Relationship Id="rId1" Type="http://schemas.openxmlformats.org/officeDocument/2006/relationships/image" Target="media/image1.wmf"/><Relationship Id="rId5" Type="http://schemas.openxmlformats.org/officeDocument/2006/relationships/image" Target="media/image5.wmf"/><Relationship Id="rId10" Type="http://schemas.openxmlformats.org/officeDocument/2006/relationships/image" Target="media/image10.wmf"/><Relationship Id="rId9" Type="http://schemas.openxmlformats.org/officeDocument/2006/relationships/image" Target="media/image9.wmf"/><Relationship Id="rId4" Type="http://schemas.openxmlformats.org/officeDocument/2006/relationships/image" Target="media/image4.wmf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levenlabs.io/app/speech-synthesis/text-to-spe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opLeftCell="A4" zoomScale="70" zoomScaleNormal="70" workbookViewId="0">
      <selection activeCell="B30" sqref="B30"/>
    </sheetView>
  </sheetViews>
  <sheetFormatPr defaultColWidth="15.625" defaultRowHeight="15" customHeight="1" x14ac:dyDescent="0.15"/>
  <cols>
    <col min="1" max="1" width="15.625" style="1"/>
    <col min="2" max="2" width="67.125" style="1" customWidth="1"/>
    <col min="3" max="3" width="95.875" style="1" customWidth="1"/>
    <col min="4" max="4" width="31.125" style="1" customWidth="1"/>
    <col min="5" max="5" width="72" style="1" customWidth="1"/>
    <col min="6" max="6" width="43.625" style="1" customWidth="1"/>
    <col min="7" max="7" width="36.25" style="1" customWidth="1"/>
    <col min="8" max="8" width="24.125" style="1" customWidth="1"/>
    <col min="9" max="9" width="27.5" style="1" customWidth="1"/>
    <col min="10" max="16384" width="15.625" style="1"/>
  </cols>
  <sheetData>
    <row r="1" spans="1:8" ht="408" customHeight="1" x14ac:dyDescent="0.15">
      <c r="A1" s="1" t="s">
        <v>0</v>
      </c>
      <c r="B1" s="2" t="s">
        <v>1</v>
      </c>
      <c r="C1" s="8" t="s">
        <v>89</v>
      </c>
      <c r="D1" s="8" t="s">
        <v>90</v>
      </c>
      <c r="E1" s="5" t="s">
        <v>88</v>
      </c>
    </row>
    <row r="2" spans="1:8" ht="13.5" x14ac:dyDescent="0.15"/>
    <row r="3" spans="1:8" ht="87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13.5" x14ac:dyDescent="0.15"/>
    <row r="5" spans="1:8" ht="27" x14ac:dyDescent="0.15">
      <c r="A5" s="3" t="s">
        <v>10</v>
      </c>
      <c r="B5" s="3" t="s">
        <v>11</v>
      </c>
      <c r="C5" s="4" t="s">
        <v>12</v>
      </c>
      <c r="D5" s="3" t="e">
        <f ca="1">_xlfn.DISPIMG("ID_B84541FE2FE54F2DB9CCA8A7E12DD669",1)</f>
        <v>#NAME?</v>
      </c>
      <c r="E5" s="6" t="s">
        <v>13</v>
      </c>
      <c r="F5" s="3" t="s">
        <v>14</v>
      </c>
      <c r="G5" s="3"/>
      <c r="H5" s="3" t="s">
        <v>15</v>
      </c>
    </row>
    <row r="6" spans="1:8" ht="13.5" x14ac:dyDescent="0.15">
      <c r="A6" s="3"/>
      <c r="B6" s="3"/>
      <c r="C6" s="3" t="s">
        <v>16</v>
      </c>
      <c r="D6" s="3"/>
      <c r="E6" s="6"/>
      <c r="F6" s="3"/>
      <c r="G6" s="3"/>
      <c r="H6" s="3" t="s">
        <v>15</v>
      </c>
    </row>
    <row r="7" spans="1:8" ht="13.5" x14ac:dyDescent="0.15">
      <c r="A7" s="3"/>
      <c r="B7" s="3"/>
      <c r="C7" s="3" t="s">
        <v>17</v>
      </c>
      <c r="D7" s="3"/>
      <c r="E7" s="7" t="s">
        <v>18</v>
      </c>
      <c r="F7" s="3" t="s">
        <v>19</v>
      </c>
      <c r="G7" s="3" t="s">
        <v>20</v>
      </c>
      <c r="H7" s="3" t="s">
        <v>21</v>
      </c>
    </row>
    <row r="8" spans="1:8" ht="54" x14ac:dyDescent="0.15">
      <c r="A8" s="3"/>
      <c r="B8" s="3" t="s">
        <v>22</v>
      </c>
      <c r="C8" s="4" t="s">
        <v>23</v>
      </c>
      <c r="D8" s="3" t="str">
        <f>_xlfn.DISPIMG("ID_4268D545E68F45B69E2BA538EB8278BE",1)</f>
        <v>=DISPIMG("ID_4268D545E68F45B69E2BA538EB8278BE",1)</v>
      </c>
      <c r="E8" s="6"/>
      <c r="F8" s="3" t="s">
        <v>24</v>
      </c>
      <c r="G8" s="3"/>
      <c r="H8" s="3" t="s">
        <v>15</v>
      </c>
    </row>
    <row r="9" spans="1:8" ht="27" x14ac:dyDescent="0.15">
      <c r="A9" s="3"/>
      <c r="B9" s="3" t="s">
        <v>25</v>
      </c>
      <c r="C9" s="4" t="s">
        <v>26</v>
      </c>
      <c r="D9" s="3" t="str">
        <f>_xlfn.DISPIMG("ID_BB7F924D1CEF4F73969797648F9C0D95",1)</f>
        <v>=DISPIMG("ID_BB7F924D1CEF4F73969797648F9C0D95",1)</v>
      </c>
      <c r="E9" s="4" t="s">
        <v>27</v>
      </c>
      <c r="F9" s="3" t="s">
        <v>28</v>
      </c>
      <c r="G9" s="3" t="s">
        <v>29</v>
      </c>
      <c r="H9" s="3" t="s">
        <v>30</v>
      </c>
    </row>
    <row r="10" spans="1:8" ht="13.5" x14ac:dyDescent="0.15">
      <c r="A10" s="3"/>
      <c r="B10" s="3" t="s">
        <v>31</v>
      </c>
      <c r="C10" s="3" t="s">
        <v>32</v>
      </c>
      <c r="D10" s="3"/>
      <c r="E10" s="3" t="s">
        <v>33</v>
      </c>
      <c r="F10" s="3" t="s">
        <v>34</v>
      </c>
      <c r="G10" s="3" t="s">
        <v>35</v>
      </c>
      <c r="H10" s="3"/>
    </row>
    <row r="11" spans="1:8" ht="27" x14ac:dyDescent="0.15">
      <c r="A11" s="3"/>
      <c r="B11" s="3" t="s">
        <v>36</v>
      </c>
      <c r="C11" s="4" t="s">
        <v>37</v>
      </c>
      <c r="D11" s="3" t="str">
        <f>_xlfn.DISPIMG("ID_2727A45A097247A0879B7366244099D9",1)</f>
        <v>=DISPIMG("ID_2727A45A097247A0879B7366244099D9",1)</v>
      </c>
      <c r="E11" s="3" t="s">
        <v>38</v>
      </c>
      <c r="F11" s="3"/>
      <c r="G11" s="3"/>
      <c r="H11" s="3"/>
    </row>
    <row r="12" spans="1:8" ht="13.5" x14ac:dyDescent="0.15"/>
    <row r="13" spans="1:8" ht="13.5" x14ac:dyDescent="0.15"/>
    <row r="16" spans="1:8" ht="13.5" x14ac:dyDescent="0.15">
      <c r="A16" s="3" t="s">
        <v>39</v>
      </c>
      <c r="B16" s="3" t="s">
        <v>40</v>
      </c>
      <c r="C16" s="4" t="s">
        <v>41</v>
      </c>
      <c r="D16" s="3" t="str">
        <f>_xlfn.DISPIMG("ID_EE9B9E45B4774B70A5B8B67C810CE05C",1)</f>
        <v>=DISPIMG("ID_EE9B9E45B4774B70A5B8B67C810CE05C",1)</v>
      </c>
      <c r="E16" s="4" t="s">
        <v>42</v>
      </c>
      <c r="F16" s="4"/>
      <c r="G16" s="3"/>
      <c r="H16" s="3"/>
    </row>
    <row r="18" spans="1:8" ht="13.5" x14ac:dyDescent="0.15"/>
    <row r="19" spans="1:8" ht="27" x14ac:dyDescent="0.15">
      <c r="A19" s="3" t="s">
        <v>43</v>
      </c>
      <c r="B19" s="3" t="s">
        <v>40</v>
      </c>
      <c r="C19" s="3" t="s">
        <v>44</v>
      </c>
      <c r="D19" s="3" t="str">
        <f>_xlfn.DISPIMG("ID_13F9596BDB8E47DA83C2BF5AEF5E6670",1)</f>
        <v>=DISPIMG("ID_13F9596BDB8E47DA83C2BF5AEF5E6670",1)</v>
      </c>
      <c r="E19" s="4" t="s">
        <v>45</v>
      </c>
      <c r="F19" s="3"/>
      <c r="G19" s="3" t="s">
        <v>46</v>
      </c>
      <c r="H19" s="3"/>
    </row>
    <row r="20" spans="1:8" ht="27" x14ac:dyDescent="0.15">
      <c r="A20" s="3"/>
      <c r="B20" s="3" t="s">
        <v>22</v>
      </c>
      <c r="C20" s="3" t="s">
        <v>47</v>
      </c>
      <c r="D20" s="3" t="str">
        <f>_xlfn.DISPIMG("ID_0948A93434EC49A8B2270DD0488BD38C",1)</f>
        <v>=DISPIMG("ID_0948A93434EC49A8B2270DD0488BD38C",1)</v>
      </c>
      <c r="E20" s="4" t="s">
        <v>48</v>
      </c>
      <c r="F20" s="3" t="s">
        <v>49</v>
      </c>
      <c r="G20" s="3"/>
      <c r="H20" s="3" t="s">
        <v>50</v>
      </c>
    </row>
    <row r="21" spans="1:8" ht="13.5" x14ac:dyDescent="0.15">
      <c r="A21" s="3"/>
      <c r="B21" s="3" t="s">
        <v>51</v>
      </c>
      <c r="C21" s="3" t="s">
        <v>52</v>
      </c>
      <c r="D21" s="3" t="str">
        <f>_xlfn.DISPIMG("ID_416C068A1BF74DB8AA3BF66DC3DC2453",1)</f>
        <v>=DISPIMG("ID_416C068A1BF74DB8AA3BF66DC3DC2453",1)</v>
      </c>
      <c r="E21" s="4" t="s">
        <v>53</v>
      </c>
      <c r="F21" s="3"/>
      <c r="G21" s="3"/>
      <c r="H21" s="3"/>
    </row>
    <row r="24" spans="1:8" ht="13.5" x14ac:dyDescent="0.15">
      <c r="A24" s="3" t="s">
        <v>54</v>
      </c>
      <c r="B24" s="3" t="s">
        <v>40</v>
      </c>
      <c r="C24" s="3" t="s">
        <v>55</v>
      </c>
      <c r="D24" s="3" t="str">
        <f>_xlfn.DISPIMG("ID_C1248B16276447BFAED54F0BBE5CA2D7",1)</f>
        <v>=DISPIMG("ID_C1248B16276447BFAED54F0BBE5CA2D7",1)</v>
      </c>
      <c r="E24" s="3" t="s">
        <v>56</v>
      </c>
      <c r="F24" s="3" t="s">
        <v>57</v>
      </c>
      <c r="G24" s="3"/>
      <c r="H24" s="3"/>
    </row>
    <row r="25" spans="1:8" ht="13.5" x14ac:dyDescent="0.15">
      <c r="A25" s="3"/>
      <c r="B25" s="3" t="s">
        <v>58</v>
      </c>
      <c r="C25" s="3" t="s">
        <v>59</v>
      </c>
      <c r="D25" s="3" t="str">
        <f>_xlfn.DISPIMG("ID_13F9596BDB8E47DA83C2BF5AEF5E6670",1)</f>
        <v>=DISPIMG("ID_13F9596BDB8E47DA83C2BF5AEF5E6670",1)</v>
      </c>
      <c r="E25" s="3" t="s">
        <v>60</v>
      </c>
      <c r="F25" s="3" t="s">
        <v>61</v>
      </c>
      <c r="G25" s="3" t="s">
        <v>61</v>
      </c>
      <c r="H25" s="3"/>
    </row>
    <row r="26" spans="1:8" ht="21.95" customHeight="1" x14ac:dyDescent="0.15">
      <c r="A26" s="3"/>
      <c r="B26" s="3" t="s">
        <v>51</v>
      </c>
      <c r="C26" s="3" t="s">
        <v>62</v>
      </c>
      <c r="D26" s="3"/>
      <c r="E26" s="7" t="s">
        <v>63</v>
      </c>
      <c r="F26" s="3"/>
      <c r="G26" s="3" t="s">
        <v>64</v>
      </c>
      <c r="H26" s="3"/>
    </row>
    <row r="27" spans="1:8" ht="21.95" customHeight="1" x14ac:dyDescent="0.15">
      <c r="A27" s="3"/>
      <c r="B27" s="3" t="s">
        <v>65</v>
      </c>
      <c r="C27" s="3" t="s">
        <v>66</v>
      </c>
      <c r="D27" s="3"/>
      <c r="E27" s="7"/>
      <c r="F27" s="3"/>
      <c r="G27" s="3"/>
      <c r="H27" s="3"/>
    </row>
    <row r="28" spans="1:8" ht="26.1" customHeight="1" x14ac:dyDescent="0.15">
      <c r="A28" s="3"/>
      <c r="B28" s="3" t="s">
        <v>67</v>
      </c>
      <c r="C28" s="3" t="s">
        <v>68</v>
      </c>
      <c r="D28" s="3"/>
      <c r="E28" s="7"/>
      <c r="F28" s="3"/>
      <c r="G28" s="3" t="s">
        <v>69</v>
      </c>
      <c r="H28" s="3"/>
    </row>
    <row r="29" spans="1:8" ht="24" customHeight="1" x14ac:dyDescent="0.15">
      <c r="A29" s="3"/>
      <c r="B29" s="3" t="s">
        <v>70</v>
      </c>
      <c r="C29" s="3" t="s">
        <v>71</v>
      </c>
      <c r="D29" s="3"/>
      <c r="E29" s="7"/>
      <c r="F29" s="3"/>
      <c r="G29" s="3"/>
      <c r="H29" s="3"/>
    </row>
    <row r="30" spans="1:8" ht="13.5" x14ac:dyDescent="0.15">
      <c r="A30" s="3"/>
      <c r="B30" s="3" t="s">
        <v>72</v>
      </c>
      <c r="C30" s="3" t="s">
        <v>73</v>
      </c>
      <c r="D30" s="3" t="str">
        <f>_xlfn.DISPIMG("ID_41F1A86A32A24A11B6376CA514625CA0",1)</f>
        <v>=DISPIMG("ID_41F1A86A32A24A11B6376CA514625CA0",1)</v>
      </c>
      <c r="E30" s="7"/>
      <c r="F30" s="3"/>
      <c r="G30" s="3"/>
      <c r="H30" s="3"/>
    </row>
    <row r="31" spans="1:8" ht="13.5" x14ac:dyDescent="0.15">
      <c r="A31" s="3"/>
      <c r="B31" s="3"/>
      <c r="C31" s="3" t="s">
        <v>74</v>
      </c>
      <c r="D31" s="3" t="str">
        <f>_xlfn.DISPIMG("ID_90B36DA5FDC14F3381253880B535F5A5",1)</f>
        <v>=DISPIMG("ID_90B36DA5FDC14F3381253880B535F5A5",1)</v>
      </c>
      <c r="E31" s="3" t="s">
        <v>75</v>
      </c>
      <c r="F31" s="3"/>
      <c r="G31" s="3"/>
      <c r="H31" s="3"/>
    </row>
    <row r="33" spans="1:8" ht="13.5" x14ac:dyDescent="0.15">
      <c r="A33" s="3" t="s">
        <v>76</v>
      </c>
      <c r="B33" s="3" t="s">
        <v>40</v>
      </c>
      <c r="C33" s="3" t="s">
        <v>77</v>
      </c>
      <c r="D33" s="3" t="str">
        <f>_xlfn.DISPIMG("ID_3737BFE793EF4D8C8AB94AF3F72694BC",1)</f>
        <v>=DISPIMG("ID_3737BFE793EF4D8C8AB94AF3F72694BC",1)</v>
      </c>
      <c r="E33" s="3" t="s">
        <v>75</v>
      </c>
      <c r="F33" s="3"/>
      <c r="G33" s="3"/>
      <c r="H33" s="3"/>
    </row>
    <row r="34" spans="1:8" ht="20.100000000000001" customHeight="1" x14ac:dyDescent="0.15">
      <c r="A34" s="3"/>
      <c r="B34" s="3" t="s">
        <v>58</v>
      </c>
      <c r="C34" s="3" t="s">
        <v>78</v>
      </c>
      <c r="D34" s="3"/>
      <c r="E34" s="4" t="s">
        <v>79</v>
      </c>
      <c r="F34" s="3"/>
      <c r="G34" s="3"/>
      <c r="H34" s="3"/>
    </row>
    <row r="35" spans="1:8" ht="40.5" x14ac:dyDescent="0.15">
      <c r="A35" s="3"/>
      <c r="B35" s="3" t="s">
        <v>51</v>
      </c>
      <c r="C35" s="3" t="s">
        <v>80</v>
      </c>
      <c r="D35" s="3" t="str">
        <f>_xlfn.DISPIMG("ID_548AC508B2354AD98DEE784314410537",1)</f>
        <v>=DISPIMG("ID_548AC508B2354AD98DEE784314410537",1)</v>
      </c>
      <c r="E35" s="4" t="s">
        <v>81</v>
      </c>
      <c r="F35" s="3"/>
      <c r="G35" s="3"/>
      <c r="H35" s="3"/>
    </row>
    <row r="38" spans="1:8" ht="20.100000000000001" customHeight="1" x14ac:dyDescent="0.15">
      <c r="A38" s="3" t="s">
        <v>82</v>
      </c>
      <c r="B38" s="3" t="s">
        <v>83</v>
      </c>
      <c r="C38" s="3" t="s">
        <v>84</v>
      </c>
      <c r="D38" s="3"/>
      <c r="E38" s="7" t="s">
        <v>85</v>
      </c>
      <c r="F38" s="3"/>
      <c r="G38" s="3"/>
      <c r="H38" s="3"/>
    </row>
    <row r="39" spans="1:8" ht="20.100000000000001" customHeight="1" x14ac:dyDescent="0.15">
      <c r="A39" s="3"/>
      <c r="B39" s="3"/>
      <c r="C39" s="3" t="s">
        <v>86</v>
      </c>
      <c r="D39" s="3"/>
      <c r="E39" s="6"/>
      <c r="F39" s="3"/>
      <c r="G39" s="3"/>
      <c r="H39" s="3"/>
    </row>
    <row r="40" spans="1:8" ht="15" customHeight="1" x14ac:dyDescent="0.15">
      <c r="A40" s="3"/>
      <c r="B40" s="3"/>
      <c r="C40" s="3" t="s">
        <v>87</v>
      </c>
      <c r="D40" s="3"/>
      <c r="E40" s="3"/>
      <c r="F40" s="3"/>
      <c r="G40" s="3"/>
      <c r="H40" s="3"/>
    </row>
  </sheetData>
  <mergeCells count="4">
    <mergeCell ref="E5:E6"/>
    <mergeCell ref="E7:E8"/>
    <mergeCell ref="E26:E30"/>
    <mergeCell ref="E38:E39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selection activeCell="C6" sqref="C6"/>
    </sheetView>
  </sheetViews>
  <sheetFormatPr defaultColWidth="9" defaultRowHeight="13.5" x14ac:dyDescent="0.15"/>
  <cols>
    <col min="1" max="1" width="19.25" customWidth="1"/>
    <col min="2" max="2" width="16" customWidth="1"/>
    <col min="3" max="3" width="71.625" bestFit="1" customWidth="1"/>
    <col min="6" max="6" width="63.75" bestFit="1" customWidth="1"/>
  </cols>
  <sheetData>
    <row r="1" spans="1:6" x14ac:dyDescent="0.15">
      <c r="A1" s="10" t="s">
        <v>92</v>
      </c>
      <c r="B1" s="10" t="s">
        <v>107</v>
      </c>
      <c r="C1" s="10" t="s">
        <v>100</v>
      </c>
      <c r="D1" s="10" t="s">
        <v>91</v>
      </c>
      <c r="F1" s="14" t="s">
        <v>117</v>
      </c>
    </row>
    <row r="2" spans="1:6" x14ac:dyDescent="0.15">
      <c r="A2" s="10" t="s">
        <v>99</v>
      </c>
      <c r="B2" s="10" t="s">
        <v>101</v>
      </c>
      <c r="C2" s="10" t="s">
        <v>109</v>
      </c>
      <c r="D2" s="12" t="s">
        <v>93</v>
      </c>
      <c r="F2" s="9" t="s">
        <v>118</v>
      </c>
    </row>
    <row r="3" spans="1:6" x14ac:dyDescent="0.15">
      <c r="A3" s="11"/>
      <c r="B3" s="10" t="s">
        <v>106</v>
      </c>
      <c r="C3" s="10" t="s">
        <v>110</v>
      </c>
      <c r="D3" s="12" t="s">
        <v>94</v>
      </c>
    </row>
    <row r="4" spans="1:6" x14ac:dyDescent="0.15">
      <c r="A4" s="11"/>
      <c r="B4" s="10" t="s">
        <v>102</v>
      </c>
      <c r="C4" s="10" t="s">
        <v>111</v>
      </c>
      <c r="D4" s="12" t="s">
        <v>95</v>
      </c>
    </row>
    <row r="5" spans="1:6" x14ac:dyDescent="0.15">
      <c r="A5" s="11"/>
      <c r="B5" s="10" t="s">
        <v>102</v>
      </c>
      <c r="C5" s="13" t="s">
        <v>108</v>
      </c>
      <c r="D5" s="12" t="s">
        <v>95</v>
      </c>
    </row>
    <row r="6" spans="1:6" x14ac:dyDescent="0.15">
      <c r="A6" s="11"/>
      <c r="B6" s="10" t="s">
        <v>102</v>
      </c>
      <c r="C6" s="10" t="s">
        <v>112</v>
      </c>
      <c r="D6" s="12" t="s">
        <v>95</v>
      </c>
    </row>
    <row r="7" spans="1:6" x14ac:dyDescent="0.15">
      <c r="A7" s="11"/>
      <c r="B7" s="10" t="s">
        <v>103</v>
      </c>
      <c r="C7" s="10" t="s">
        <v>113</v>
      </c>
      <c r="D7" s="10" t="s">
        <v>96</v>
      </c>
    </row>
    <row r="8" spans="1:6" x14ac:dyDescent="0.15">
      <c r="A8" s="11"/>
      <c r="B8" s="10" t="s">
        <v>104</v>
      </c>
      <c r="C8" s="10" t="s">
        <v>114</v>
      </c>
      <c r="D8" s="10" t="s">
        <v>97</v>
      </c>
    </row>
    <row r="9" spans="1:6" x14ac:dyDescent="0.15">
      <c r="A9" s="11"/>
      <c r="B9" s="10" t="s">
        <v>104</v>
      </c>
      <c r="C9" s="10" t="s">
        <v>115</v>
      </c>
      <c r="D9" s="10" t="s">
        <v>97</v>
      </c>
    </row>
    <row r="10" spans="1:6" x14ac:dyDescent="0.15">
      <c r="A10" s="11"/>
      <c r="B10" s="10" t="s">
        <v>105</v>
      </c>
      <c r="C10" s="10" t="s">
        <v>116</v>
      </c>
      <c r="D10" s="10" t="s">
        <v>98</v>
      </c>
    </row>
    <row r="11" spans="1:6" x14ac:dyDescent="0.15">
      <c r="A11" s="11"/>
      <c r="B11" s="11"/>
      <c r="C11" s="11"/>
      <c r="D11" s="11"/>
    </row>
    <row r="12" spans="1:6" x14ac:dyDescent="0.15">
      <c r="A12" s="11"/>
      <c r="B12" s="11"/>
      <c r="C12" s="11"/>
      <c r="D12" s="11"/>
    </row>
    <row r="13" spans="1:6" x14ac:dyDescent="0.15">
      <c r="A13" s="11"/>
      <c r="B13" s="11"/>
      <c r="C13" s="11"/>
      <c r="D13" s="11"/>
    </row>
    <row r="14" spans="1:6" x14ac:dyDescent="0.15">
      <c r="A14" s="11"/>
      <c r="B14" s="11"/>
      <c r="C14" s="11"/>
      <c r="D14" s="11"/>
    </row>
    <row r="15" spans="1:6" x14ac:dyDescent="0.15">
      <c r="A15" s="11"/>
      <c r="B15" s="11"/>
      <c r="C15" s="11"/>
      <c r="D15" s="11"/>
    </row>
    <row r="16" spans="1:6" x14ac:dyDescent="0.15">
      <c r="A16" s="11"/>
      <c r="B16" s="11"/>
      <c r="C16" s="11"/>
      <c r="D16" s="11"/>
    </row>
    <row r="17" spans="1:4" x14ac:dyDescent="0.15">
      <c r="A17" s="11"/>
      <c r="B17" s="11"/>
      <c r="C17" s="11"/>
      <c r="D17" s="11"/>
    </row>
    <row r="18" spans="1:4" x14ac:dyDescent="0.15">
      <c r="A18" s="11"/>
      <c r="B18" s="11"/>
      <c r="C18" s="11"/>
      <c r="D18" s="11"/>
    </row>
    <row r="19" spans="1:4" x14ac:dyDescent="0.15">
      <c r="A19" s="11"/>
      <c r="B19" s="11"/>
      <c r="C19" s="11"/>
      <c r="D19" s="11"/>
    </row>
    <row r="20" spans="1:4" x14ac:dyDescent="0.15">
      <c r="A20" s="11"/>
      <c r="B20" s="11"/>
      <c r="C20" s="11"/>
      <c r="D20" s="11"/>
    </row>
    <row r="21" spans="1:4" x14ac:dyDescent="0.15">
      <c r="A21" s="11"/>
      <c r="B21" s="11"/>
      <c r="C21" s="11"/>
      <c r="D21" s="11"/>
    </row>
    <row r="22" spans="1:4" x14ac:dyDescent="0.15">
      <c r="A22" s="11"/>
      <c r="B22" s="11"/>
      <c r="C22" s="11"/>
      <c r="D22" s="11"/>
    </row>
    <row r="23" spans="1:4" x14ac:dyDescent="0.15">
      <c r="A23" s="11"/>
      <c r="B23" s="11"/>
      <c r="C23" s="11"/>
      <c r="D23" s="11"/>
    </row>
  </sheetData>
  <phoneticPr fontId="2" type="noConversion"/>
  <hyperlinks>
    <hyperlink ref="F1" r:id="rId1" xr:uid="{C7F4C5A3-60AB-4D08-8DE4-2B03BC8F3D92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Excel分镜</vt:lpstr>
      <vt:lpstr>Abel语音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yq y</cp:lastModifiedBy>
  <dcterms:created xsi:type="dcterms:W3CDTF">2023-05-12T11:15:00Z</dcterms:created>
  <dcterms:modified xsi:type="dcterms:W3CDTF">2025-08-06T07:59:57Z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795F2DE2D5FA45A78B8C9816C479A2A2_12</vt:lpwstr>
  </property>
</Properties>
</file>