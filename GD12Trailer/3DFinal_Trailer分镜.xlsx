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96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<sst xmlns="http://schemas.openxmlformats.org/spreadsheetml/2006/main" count="102" uniqueCount="91">
  <si>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</si>
  <si>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</si>
  <si>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</si>
  <si>
    <t>宣传片总时长
#1 5s + 8s 
#2 3s + 3s
#3 19s
#4 5s + 17s + 5s
#5 5s + 7s
#6 10s
总时长：87s</t>
  </si>
  <si>
    <t>引擎内工作优先级排序
修改扫描，让扫描只播放一次
子弹Mesh，射击粒子特效
笔记本亮屏画面，笔记本铃声
敌人死后钥匙卡生成
Abel AI配音
掉落发出响声和掉落杀死AI的物体Mesh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</si>
  <si>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</si>
  <si>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</si>
  <si>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</si>
  <si>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</si>
  <si>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</si>
  <si>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</si>
  <si>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</si>
  <si>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</si>
  <si>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</si>
  <si>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</si>
  <si>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</si>
  <si>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</si>
  <si>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</si>
  <si>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</si>
  <si>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</si>
  <si>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</si>
  <si>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</si>
  <si>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</si>
  <si>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</si>
  <si>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</si>
  <si>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</si>
  <si>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</si>
  <si>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笔记本铃声，AI逐渐靠近的脚步声</t>
  </si>
  <si>
    <t>3. 夜晚，熄灯的公司房间内</t>
  </si>
  <si>
    <t>玩家出现，AI被暗杀倒地
显示游戏LOGO</t>
  </si>
  <si>
    <t>0：08 音乐淡出，玩家杀死AI，玩家拾取地上钥匙卡</t>
  </si>
  <si>
    <t>笔记本铃声，轻微的敌人倒地声，卡片掉落声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</si>
  <si>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</si>
  <si>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</si>
  <si>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</si>
  <si>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</si>
  <si>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</si>
  <si>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玩家拾取声音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</si>
  <si>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</si>
  <si>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</si>
  <si>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</si>
  <si>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</si>
  <si>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</si>
  <si>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</si>
  <si>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</si>
  <si>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</si>
  <si>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</si>
  <si>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</si>
  <si>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</si>
  <si>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</si>
  <si>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</si>
  <si>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</si>
  <si>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</si>
  <si>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</si>
  <si>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</si>
  <si>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</si>
  <si>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</si>
  <si>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</si>
  <si>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</si>
  <si>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</si>
  <si>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</si>
  <si>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</si>
  <si>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</si>
  <si>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</si>
  <si>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</si>
  <si>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</si>
  <si>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</si>
  <si>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</si>
  <si>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</si>
  <si>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</si>
  <si>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</si>
  <si>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</si>
  <si>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</si>
  <si>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</si>
  <si>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</si>
  <si>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</si>
  <si>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玩家打碎门口摄像头，玩家在一个门口放置重生点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</si>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</sst>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wmf"/><Relationship Id="rId7" Type="http://schemas.openxmlformats.org/officeDocument/2006/relationships/image" Target="media/image7.wmf"/><Relationship Id="rId6" Type="http://schemas.openxmlformats.org/officeDocument/2006/relationships/image" Target="media/image6.wmf"/><Relationship Id="rId5" Type="http://schemas.openxmlformats.org/officeDocument/2006/relationships/image" Target="media/image5.wmf"/><Relationship Id="rId4" Type="http://schemas.openxmlformats.org/officeDocument/2006/relationships/image" Target="media/image4.wmf"/><Relationship Id="rId3" Type="http://schemas.openxmlformats.org/officeDocument/2006/relationships/image" Target="media/image3.wmf"/><Relationship Id="rId2" Type="http://schemas.openxmlformats.org/officeDocument/2006/relationships/image" Target="media/image2.wmf"/><Relationship Id="rId13" Type="http://schemas.openxmlformats.org/officeDocument/2006/relationships/image" Target="media/image13.wmf"/><Relationship Id="rId12" Type="http://schemas.openxmlformats.org/officeDocument/2006/relationships/image" Target="media/image12.wmf"/><Relationship Id="rId11" Type="http://schemas.openxmlformats.org/officeDocument/2006/relationships/image" Target="media/image11.wmf"/><Relationship Id="rId10" Type="http://schemas.openxmlformats.org/officeDocument/2006/relationships/image" Target="media/image10.wmf"/><Relationship Id="rId1" Type="http://schemas.openxmlformats.org/officeDocument/2006/relationships/image" Target="media/image1.wmf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"/>
  <sheetViews>
    <sheetView tabSelected="1" zoomScale="70" zoomScaleNormal="70" topLeftCell="B1" workbookViewId="0">
      <selection activeCell="I20" sqref="I20"/>
    </sheetView>
  </sheetViews>
  <sheetFormatPr defaultColWidth="15.625" defaultRowHeight="15" customHeight="1" outlineLevelCol="7"/>
  <cols>
    <col min="1" max="1" width="15.625" style="1"/>
    <col min="2" max="2" width="67.125" style="1" customWidth="1"/>
    <col min="3" max="3" width="95.8833333333333" style="1" customWidth="1"/>
    <col min="4" max="4" width="31.1666666666667" style="1" customWidth="1"/>
    <col min="5" max="5" width="72.0583333333333" style="1" customWidth="1"/>
    <col min="6" max="6" width="43.625" style="1" customWidth="1"/>
    <col min="7" max="7" width="36.25" style="1" customWidth="1"/>
    <col min="8" max="8" width="24.1083333333333" style="1" customWidth="1"/>
    <col min="9" max="9" width="27.5" style="1" customWidth="1"/>
    <col min="10" max="16384" width="15.625" style="1"/>
  </cols>
  <sheetData>
    <row r="1" ht="408" customHeight="1" spans="1: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ht="13.5"/>
    <row r="3" ht="87.95" customHeight="1" spans="1:8">
      <c r="A3" s="4" t="s">
        <v>5</v>
      </c>
      <c r="B3" s="4" t="s">
        <v>6</v>
      </c>
      <c r="C3" s="4" t="s">
        <v>7</v>
      </c>
      <c r="D3" s="4" t="s">
        <v>8</v>
      </c>
      <c r="E3" s="4" t="s">
        <v>9</v>
      </c>
      <c r="F3" s="4" t="s">
        <v>10</v>
      </c>
      <c r="G3" s="4" t="s">
        <v>11</v>
      </c>
      <c r="H3" s="4" t="s">
        <v>12</v>
      </c>
    </row>
    <row r="4" ht="13.5"/>
    <row r="5" ht="106.15" spans="1:8">
      <c r="A5" s="4" t="s">
        <v>13</v>
      </c>
      <c r="B5" s="4" t="s">
        <v>14</v>
      </c>
      <c r="C5" s="5" t="s">
        <v>15</v>
      </c>
      <c r="D5" s="4" t="str">
        <f>_xlfn.DISPIMG("ID_B84541FE2FE54F2DB9CCA8A7E12DD669",1)</f>
        <v>=DISPIMG("ID_B84541FE2FE54F2DB9CCA8A7E12DD669",1)</v>
      </c>
      <c r="E5" s="4" t="s">
        <v>16</v>
      </c>
      <c r="F5" s="4" t="s">
        <v>17</v>
      </c>
      <c r="G5" s="4"/>
      <c r="H5" s="4" t="s">
        <v>18</v>
      </c>
    </row>
    <row r="6" ht="13.5" spans="1:8">
      <c r="A6" s="4"/>
      <c r="B6" s="4"/>
      <c r="C6" s="4" t="s">
        <v>19</v>
      </c>
      <c r="D6" s="4"/>
      <c r="E6" s="4"/>
      <c r="F6" s="4"/>
      <c r="G6" s="4"/>
      <c r="H6" s="4" t="s">
        <v>18</v>
      </c>
    </row>
    <row r="7" ht="13.5" spans="1:8">
      <c r="A7" s="4"/>
      <c r="B7" s="4"/>
      <c r="C7" s="4" t="s">
        <v>20</v>
      </c>
      <c r="D7" s="4"/>
      <c r="E7" s="5" t="s">
        <v>21</v>
      </c>
      <c r="F7" s="4" t="s">
        <v>22</v>
      </c>
      <c r="G7" s="4" t="s">
        <v>23</v>
      </c>
      <c r="H7" s="4" t="s">
        <v>24</v>
      </c>
    </row>
    <row r="8" ht="106.15" spans="1:8">
      <c r="A8" s="4"/>
      <c r="B8" s="4" t="s">
        <v>25</v>
      </c>
      <c r="C8" s="5" t="s">
        <v>26</v>
      </c>
      <c r="D8" s="4" t="str">
        <f>_xlfn.DISPIMG("ID_4268D545E68F45B69E2BA538EB8278BE",1)</f>
        <v>=DISPIMG("ID_4268D545E68F45B69E2BA538EB8278BE",1)</v>
      </c>
      <c r="E8" s="4"/>
      <c r="F8" s="4" t="s">
        <v>27</v>
      </c>
      <c r="G8" s="4"/>
      <c r="H8" s="4" t="s">
        <v>18</v>
      </c>
    </row>
    <row r="9" ht="106.15" spans="1:8">
      <c r="A9" s="4"/>
      <c r="B9" s="4" t="s">
        <v>28</v>
      </c>
      <c r="C9" s="5" t="s">
        <v>29</v>
      </c>
      <c r="D9" s="4" t="str">
        <f>_xlfn.DISPIMG("ID_BB7F924D1CEF4F73969797648F9C0D95",1)</f>
        <v>=DISPIMG("ID_BB7F924D1CEF4F73969797648F9C0D95",1)</v>
      </c>
      <c r="E9" s="5" t="s">
        <v>30</v>
      </c>
      <c r="F9" s="4" t="s">
        <v>31</v>
      </c>
      <c r="G9" s="4" t="s">
        <v>32</v>
      </c>
      <c r="H9" s="4" t="s">
        <v>33</v>
      </c>
    </row>
    <row r="10" ht="13.5" spans="1:8">
      <c r="A10" s="4"/>
      <c r="B10" s="4" t="s">
        <v>34</v>
      </c>
      <c r="C10" s="4" t="s">
        <v>35</v>
      </c>
      <c r="D10" s="4"/>
      <c r="E10" s="4" t="s">
        <v>36</v>
      </c>
      <c r="F10" s="4" t="s">
        <v>37</v>
      </c>
      <c r="G10" s="4" t="s">
        <v>38</v>
      </c>
      <c r="H10" s="4"/>
    </row>
    <row r="11" ht="106.15" spans="1:8">
      <c r="A11" s="4"/>
      <c r="B11" s="4" t="s">
        <v>39</v>
      </c>
      <c r="C11" s="5" t="s">
        <v>40</v>
      </c>
      <c r="D11" s="4" t="str">
        <f>_xlfn.DISPIMG("ID_2727A45A097247A0879B7366244099D9",1)</f>
        <v>=DISPIMG("ID_2727A45A097247A0879B7366244099D9",1)</v>
      </c>
      <c r="E11" s="4" t="s">
        <v>41</v>
      </c>
      <c r="F11" s="4"/>
      <c r="G11" s="4"/>
      <c r="H11" s="4"/>
    </row>
    <row r="12"/>
    <row r="13"/>
    <row r="16" ht="106.15" spans="1:8">
      <c r="A16" s="4" t="s">
        <v>42</v>
      </c>
      <c r="B16" s="4" t="s">
        <v>43</v>
      </c>
      <c r="C16" s="5" t="s">
        <v>44</v>
      </c>
      <c r="D16" s="4" t="str">
        <f>_xlfn.DISPIMG("ID_EE9B9E45B4774B70A5B8B67C810CE05C",1)</f>
        <v>=DISPIMG("ID_EE9B9E45B4774B70A5B8B67C810CE05C",1)</v>
      </c>
      <c r="E16" s="5" t="s">
        <v>45</v>
      </c>
      <c r="F16" s="5"/>
      <c r="G16" s="4"/>
      <c r="H16" s="4"/>
    </row>
    <row r="18" ht="13.5"/>
    <row r="19" ht="106.15" spans="1:8">
      <c r="A19" s="4" t="s">
        <v>46</v>
      </c>
      <c r="B19" s="4" t="s">
        <v>43</v>
      </c>
      <c r="C19" s="4" t="s">
        <v>47</v>
      </c>
      <c r="D19" s="4" t="str">
        <f>_xlfn.DISPIMG("ID_13F9596BDB8E47DA83C2BF5AEF5E6670",1)</f>
        <v>=DISPIMG("ID_13F9596BDB8E47DA83C2BF5AEF5E6670",1)</v>
      </c>
      <c r="E19" s="5" t="s">
        <v>48</v>
      </c>
      <c r="F19" s="4"/>
      <c r="G19" s="4" t="s">
        <v>49</v>
      </c>
      <c r="H19" s="4"/>
    </row>
    <row r="20" ht="106.15" spans="1:8">
      <c r="A20" s="4"/>
      <c r="B20" s="4" t="s">
        <v>25</v>
      </c>
      <c r="C20" s="4" t="s">
        <v>50</v>
      </c>
      <c r="D20" s="4" t="str">
        <f>_xlfn.DISPIMG("ID_0948A93434EC49A8B2270DD0488BD38C",1)</f>
        <v>=DISPIMG("ID_0948A93434EC49A8B2270DD0488BD38C",1)</v>
      </c>
      <c r="E20" s="5" t="s">
        <v>51</v>
      </c>
      <c r="F20" s="4" t="s">
        <v>52</v>
      </c>
      <c r="G20" s="4"/>
      <c r="H20" s="4" t="s">
        <v>53</v>
      </c>
    </row>
    <row r="21" ht="106.15" spans="1:8">
      <c r="A21" s="4"/>
      <c r="B21" s="4" t="s">
        <v>54</v>
      </c>
      <c r="C21" s="4" t="s">
        <v>55</v>
      </c>
      <c r="D21" s="4" t="str">
        <f>_xlfn.DISPIMG("ID_416C068A1BF74DB8AA3BF66DC3DC2453",1)</f>
        <v>=DISPIMG("ID_416C068A1BF74DB8AA3BF66DC3DC2453",1)</v>
      </c>
      <c r="E21" s="5" t="s">
        <v>56</v>
      </c>
      <c r="F21" s="4"/>
      <c r="G21" s="4"/>
      <c r="H21" s="4"/>
    </row>
    <row r="24" ht="106.15" spans="1:8">
      <c r="A24" s="4" t="s">
        <v>57</v>
      </c>
      <c r="B24" s="4" t="s">
        <v>43</v>
      </c>
      <c r="C24" s="4" t="s">
        <v>58</v>
      </c>
      <c r="D24" s="4" t="str">
        <f>_xlfn.DISPIMG("ID_C1248B16276447BFAED54F0BBE5CA2D7",1)</f>
        <v>=DISPIMG("ID_C1248B16276447BFAED54F0BBE5CA2D7",1)</v>
      </c>
      <c r="E24" s="4" t="s">
        <v>59</v>
      </c>
      <c r="F24" s="4" t="s">
        <v>60</v>
      </c>
      <c r="G24" s="4"/>
      <c r="H24" s="4"/>
    </row>
    <row r="25" ht="106.15" spans="1:8">
      <c r="A25" s="4"/>
      <c r="B25" s="4" t="s">
        <v>61</v>
      </c>
      <c r="C25" s="4" t="s">
        <v>62</v>
      </c>
      <c r="D25" s="4" t="str">
        <f>_xlfn.DISPIMG("ID_13F9596BDB8E47DA83C2BF5AEF5E6670",1)</f>
        <v>=DISPIMG("ID_13F9596BDB8E47DA83C2BF5AEF5E6670",1)</v>
      </c>
      <c r="E25" s="4" t="s">
        <v>63</v>
      </c>
      <c r="F25" s="4" t="s">
        <v>64</v>
      </c>
      <c r="G25" s="4" t="s">
        <v>64</v>
      </c>
      <c r="H25" s="4"/>
    </row>
    <row r="26" ht="22" customHeight="1" spans="1:8">
      <c r="A26" s="4"/>
      <c r="B26" s="4" t="s">
        <v>54</v>
      </c>
      <c r="C26" s="4" t="s">
        <v>65</v>
      </c>
      <c r="D26" s="4"/>
      <c r="E26" s="5" t="s">
        <v>66</v>
      </c>
      <c r="F26" s="4"/>
      <c r="G26" s="4" t="s">
        <v>67</v>
      </c>
      <c r="H26" s="4"/>
    </row>
    <row r="27" ht="22" customHeight="1" spans="1:8">
      <c r="A27" s="4"/>
      <c r="B27" s="4" t="s">
        <v>68</v>
      </c>
      <c r="C27" s="4" t="s">
        <v>69</v>
      </c>
      <c r="D27" s="4"/>
      <c r="E27" s="5"/>
      <c r="F27" s="4"/>
      <c r="G27" s="4"/>
      <c r="H27" s="4"/>
    </row>
    <row r="28" ht="26" customHeight="1" spans="1:8">
      <c r="A28" s="4"/>
      <c r="B28" s="4" t="s">
        <v>70</v>
      </c>
      <c r="C28" s="4" t="s">
        <v>71</v>
      </c>
      <c r="D28" s="4"/>
      <c r="E28" s="5"/>
      <c r="F28" s="4"/>
      <c r="G28" s="4" t="s">
        <v>72</v>
      </c>
      <c r="H28" s="4"/>
    </row>
    <row r="29" ht="24" customHeight="1" spans="1:8">
      <c r="A29" s="4"/>
      <c r="B29" s="4" t="s">
        <v>73</v>
      </c>
      <c r="C29" s="4" t="s">
        <v>74</v>
      </c>
      <c r="D29" s="4"/>
      <c r="E29" s="5"/>
      <c r="F29" s="4"/>
      <c r="G29" s="4"/>
      <c r="H29" s="4"/>
    </row>
    <row r="30" ht="106.15" spans="1:8">
      <c r="A30" s="4"/>
      <c r="B30" s="4" t="s">
        <v>75</v>
      </c>
      <c r="C30" s="4" t="s">
        <v>76</v>
      </c>
      <c r="D30" s="4" t="str">
        <f>_xlfn.DISPIMG("ID_41F1A86A32A24A11B6376CA514625CA0",1)</f>
        <v>=DISPIMG("ID_41F1A86A32A24A11B6376CA514625CA0",1)</v>
      </c>
      <c r="E30" s="5"/>
      <c r="F30" s="4"/>
      <c r="G30" s="4"/>
      <c r="H30" s="4"/>
    </row>
    <row r="31" ht="106.15" spans="1:8">
      <c r="A31" s="4"/>
      <c r="B31" s="4"/>
      <c r="C31" s="4" t="s">
        <v>77</v>
      </c>
      <c r="D31" s="4" t="str">
        <f>_xlfn.DISPIMG("ID_90B36DA5FDC14F3381253880B535F5A5",1)</f>
        <v>=DISPIMG("ID_90B36DA5FDC14F3381253880B535F5A5",1)</v>
      </c>
      <c r="E31" s="4" t="s">
        <v>78</v>
      </c>
      <c r="F31" s="4"/>
      <c r="G31" s="4"/>
      <c r="H31" s="4"/>
    </row>
    <row r="33" ht="106.15" spans="1:8">
      <c r="A33" s="4" t="s">
        <v>79</v>
      </c>
      <c r="B33" s="4" t="s">
        <v>43</v>
      </c>
      <c r="C33" s="4" t="s">
        <v>80</v>
      </c>
      <c r="D33" s="4" t="str">
        <f>_xlfn.DISPIMG("ID_3737BFE793EF4D8C8AB94AF3F72694BC",1)</f>
        <v>=DISPIMG("ID_3737BFE793EF4D8C8AB94AF3F72694BC",1)</v>
      </c>
      <c r="E33" s="4" t="s">
        <v>78</v>
      </c>
      <c r="F33" s="4"/>
      <c r="G33" s="4"/>
      <c r="H33" s="4"/>
    </row>
    <row r="34" ht="20" customHeight="1" spans="1:8">
      <c r="A34" s="4"/>
      <c r="B34" s="4" t="s">
        <v>61</v>
      </c>
      <c r="C34" s="4" t="s">
        <v>81</v>
      </c>
      <c r="D34" s="4"/>
      <c r="E34" s="5" t="s">
        <v>82</v>
      </c>
      <c r="F34" s="4"/>
      <c r="G34" s="4"/>
      <c r="H34" s="4"/>
    </row>
    <row r="35" ht="106.15" spans="1:8">
      <c r="A35" s="4"/>
      <c r="B35" s="4" t="s">
        <v>54</v>
      </c>
      <c r="C35" s="4" t="s">
        <v>83</v>
      </c>
      <c r="D35" s="4" t="str">
        <f>_xlfn.DISPIMG("ID_548AC508B2354AD98DEE784314410537",1)</f>
        <v>=DISPIMG("ID_548AC508B2354AD98DEE784314410537",1)</v>
      </c>
      <c r="E35" s="5" t="s">
        <v>84</v>
      </c>
      <c r="F35" s="4"/>
      <c r="G35" s="4"/>
      <c r="H35" s="4"/>
    </row>
    <row r="38" ht="20" customHeight="1" spans="1:8">
      <c r="A38" s="4" t="s">
        <v>85</v>
      </c>
      <c r="B38" s="4" t="s">
        <v>86</v>
      </c>
      <c r="C38" s="4" t="s">
        <v>87</v>
      </c>
      <c r="D38" s="4"/>
      <c r="E38" s="5" t="s">
        <v>88</v>
      </c>
      <c r="F38" s="4"/>
      <c r="G38" s="4"/>
      <c r="H38" s="4"/>
    </row>
    <row r="39" ht="20" customHeight="1" spans="1:8">
      <c r="A39" s="4"/>
      <c r="B39" s="4"/>
      <c r="C39" s="4" t="s">
        <v>89</v>
      </c>
      <c r="D39" s="4"/>
      <c r="E39" s="4"/>
      <c r="F39" s="4"/>
      <c r="G39" s="4"/>
      <c r="H39" s="4"/>
    </row>
    <row r="40" customHeight="1" spans="1:8">
      <c r="A40" s="4"/>
      <c r="B40" s="4"/>
      <c r="C40" s="4" t="s">
        <v>90</v>
      </c>
      <c r="D40" s="4"/>
      <c r="E40" s="4"/>
      <c r="F40" s="4"/>
      <c r="G40" s="4"/>
      <c r="H40" s="4"/>
    </row>
  </sheetData>
  <mergeCells count="4">
    <mergeCell ref="E5:E6"/>
    <mergeCell ref="E7:E8"/>
    <mergeCell ref="E26:E30"/>
    <mergeCell ref="E38:E39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-NOOB-MedicYYQCN</cp:lastModifiedBy>
  <dcterms:created xsi:type="dcterms:W3CDTF">2023-05-12T11:15:00Z</dcterms:created>
  <dcterms:modified xsi:type="dcterms:W3CDTF">2025-08-05T17:25:58Z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